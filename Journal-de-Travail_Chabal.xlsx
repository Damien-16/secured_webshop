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secured_webshop\"/>
    </mc:Choice>
  </mc:AlternateContent>
  <xr:revisionPtr revIDLastSave="0" documentId="13_ncr:1_{3019223A-ABA0-43CC-BB13-C47F06442BF5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<sst xmlns="http://schemas.openxmlformats.org/spreadsheetml/2006/main" count="43" uniqueCount="35">
  <si>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</si>
  <si>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</si>
  <si>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</si>
  <si>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</si>
  <si>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</si>
  <si>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</si>
  <si>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</si>
  <si>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</si>
  <si>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</si>
  <si>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</si>
  <si>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</si>
  <si>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</si>
  <si>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</si>
  <si>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</si>
  <si>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</si>
  <si>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</si>
  <si>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</si>
  <si>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</si>
  <si>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</si>
  <si>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</si>
  <si>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</si>
  <si>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</si>
  <si>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</si>
  <si>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</si>
  <si>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</si>
  <si>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</si>
  <si>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</si>
  <si>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</si>
  <si>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Chabal Damien</t>
  </si>
  <si>
    <t>P_183 : Sécurité des applications</t>
  </si>
  <si>
    <t>12.01.2026 au 29.05.2026</t>
  </si>
  <si>
    <t>Création du projet</t>
  </si>
  <si>
    <t>Ajoute de la fonctionnalité de login</t>
  </si>
  <si>
    <t>Ajoute de la fonctionnalité d'inscription</t>
  </si>
  <si>
    <t>Ajoute du hash des mdp, du sel, du poivre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</si>
</sst>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270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B10" sqref="B1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28</v>
      </c>
      <c r="D2" s="80"/>
      <c r="E2" s="80"/>
      <c r="F2" s="5" t="s">
        <v>1</v>
      </c>
      <c r="G2" s="75" t="s">
        <v>29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4 heures 30 minutes</v>
      </c>
      <c r="D3" s="19"/>
      <c r="E3" s="3"/>
      <c r="F3" s="4" t="s">
        <v>6</v>
      </c>
      <c r="G3" s="76" t="s">
        <v>30</v>
      </c>
    </row>
    <row r="4" spans="1:15" ht="23.25" hidden="1" x14ac:dyDescent="0.35">
      <c r="B4" s="5"/>
      <c r="C4" s="19">
        <f>SUBTOTAL(9,$C$7:$C$531)*60</f>
        <v>120</v>
      </c>
      <c r="D4" s="19">
        <f>SUBTOTAL(9,$D$7:$D$531)</f>
        <v>150</v>
      </c>
      <c r="E4" s="29">
        <f>SUM(C4:D4)</f>
        <v>270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46101</v>
      </c>
      <c r="C7" s="33"/>
      <c r="D7" s="34">
        <v>45</v>
      </c>
      <c r="E7" s="35" t="s">
        <v>19</v>
      </c>
      <c r="F7" s="28" t="s">
        <v>31</v>
      </c>
      <c r="G7" s="44"/>
    </row>
    <row r="8" spans="1:15" x14ac:dyDescent="0.25">
      <c r="A8" s="73">
        <f>IF(ISBLANK(B8),"",_xlfn.ISOWEEKNUM('Journal de travail'!$B8))</f>
        <v>12</v>
      </c>
      <c r="B8" s="36">
        <v>46101</v>
      </c>
      <c r="C8" s="37">
        <v>1</v>
      </c>
      <c r="D8" s="38">
        <v>30</v>
      </c>
      <c r="E8" s="39" t="s">
        <v>19</v>
      </c>
      <c r="F8" s="28" t="s">
        <v>32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46108</v>
      </c>
      <c r="C9" s="41">
        <v>1</v>
      </c>
      <c r="D9" s="42">
        <v>30</v>
      </c>
      <c r="E9" s="43" t="s">
        <v>19</v>
      </c>
      <c r="F9" s="28" t="s">
        <v>33</v>
      </c>
      <c r="G9" s="46"/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13</v>
      </c>
      <c r="B10" s="36">
        <v>46108</v>
      </c>
      <c r="C10" s="37"/>
      <c r="D10" s="38">
        <v>45</v>
      </c>
      <c r="E10" s="39" t="s">
        <v>19</v>
      </c>
      <c r="F10" s="28" t="s">
        <v>34</v>
      </c>
      <c r="G10" s="45"/>
      <c r="M10" t="s">
        <v>3</v>
      </c>
      <c r="N10">
        <v>3</v>
      </c>
      <c r="O10">
        <v>10</v>
      </c>
    </row>
    <row r="11" spans="1:15" x14ac:dyDescent="0.25">
      <c r="A11" s="74" t="str">
        <f>IF(ISBLANK(B11),"",_xlfn.ISOWEEKNUM('Journal de travail'!$B11))</f>
        <v/>
      </c>
      <c r="B11" s="40"/>
      <c r="C11" s="41"/>
      <c r="D11" s="42"/>
      <c r="E11" s="43"/>
      <c r="F11" s="28"/>
      <c r="G11" s="46"/>
      <c r="M11" t="s">
        <v>4</v>
      </c>
      <c r="N11">
        <v>4</v>
      </c>
      <c r="O11">
        <v>15</v>
      </c>
    </row>
    <row r="12" spans="1:15" x14ac:dyDescent="0.25">
      <c r="A12" s="73" t="str">
        <f>IF(ISBLANK(B12),"",_xlfn.ISOWEEKNUM('Journal de travail'!$B12))</f>
        <v/>
      </c>
      <c r="B12" s="36"/>
      <c r="C12" s="37"/>
      <c r="D12" s="38"/>
      <c r="E12" s="39"/>
      <c r="F12" s="28"/>
      <c r="G12" s="45"/>
      <c r="N12">
        <v>5</v>
      </c>
      <c r="O12">
        <v>20</v>
      </c>
    </row>
    <row r="13" spans="1:15" x14ac:dyDescent="0.25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5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150</v>
      </c>
      <c r="C7">
        <f t="shared" si="0"/>
        <v>270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4 h 30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120</v>
      </c>
      <c r="B10">
        <f>SUM(B6:B9)</f>
        <v>150</v>
      </c>
      <c r="C10">
        <f>SUM(A10:B10)</f>
        <v>270</v>
      </c>
      <c r="E10" s="20" t="s">
        <v>18</v>
      </c>
      <c r="F10" s="50" t="str">
        <f t="shared" si="1"/>
        <v>4 h 30 min</v>
      </c>
      <c r="G10" s="57">
        <f>C10/C11</f>
        <v>5.113636363636364E-2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2026-03-27T11:08:56Z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